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lans\Downloads\"/>
    </mc:Choice>
  </mc:AlternateContent>
  <xr:revisionPtr revIDLastSave="0" documentId="8_{B1DE1079-095E-4F74-BBF2-378418B96790}" xr6:coauthVersionLast="47" xr6:coauthVersionMax="47" xr10:uidLastSave="{00000000-0000-0000-0000-000000000000}"/>
  <bookViews>
    <workbookView xWindow="-120" yWindow="-120" windowWidth="51840" windowHeight="21120" tabRatio="500" activeTab="2" xr2:uid="{00000000-000D-0000-FFFF-FFFF00000000}"/>
  </bookViews>
  <sheets>
    <sheet name="Risk Register" sheetId="1" r:id="rId1"/>
    <sheet name="Risk Heat Map" sheetId="2" r:id="rId2"/>
    <sheet name="Executive Dashboar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30" i="1" l="1"/>
  <c r="J30" i="1"/>
  <c r="G30" i="1"/>
  <c r="F30" i="1"/>
  <c r="L28" i="1"/>
  <c r="H28" i="1"/>
  <c r="L27" i="1"/>
  <c r="H27" i="1"/>
  <c r="L26" i="1"/>
  <c r="H26" i="1"/>
  <c r="L25" i="1"/>
  <c r="H25" i="1"/>
  <c r="L24" i="1"/>
  <c r="H24" i="1"/>
  <c r="L23" i="1"/>
  <c r="H23" i="1"/>
  <c r="L22" i="1"/>
  <c r="H22" i="1"/>
  <c r="L21" i="1"/>
  <c r="H21" i="1"/>
  <c r="L20" i="1"/>
  <c r="H20" i="1"/>
  <c r="H30" i="1" s="1"/>
  <c r="L19" i="1"/>
  <c r="H19" i="1"/>
  <c r="L18" i="1"/>
  <c r="H18" i="1"/>
  <c r="L17" i="1"/>
  <c r="H17" i="1"/>
  <c r="L16" i="1"/>
  <c r="H16" i="1"/>
  <c r="L15" i="1"/>
  <c r="H15" i="1"/>
  <c r="L14" i="1"/>
  <c r="H14" i="1"/>
  <c r="L13" i="1"/>
  <c r="H13" i="1"/>
  <c r="L12" i="1"/>
  <c r="H12" i="1"/>
  <c r="L11" i="1"/>
  <c r="H11" i="1"/>
  <c r="L10" i="1"/>
  <c r="H10" i="1"/>
  <c r="L9" i="1"/>
  <c r="H9" i="1"/>
  <c r="L8" i="1"/>
  <c r="H8" i="1"/>
  <c r="L7" i="1"/>
  <c r="H7" i="1"/>
  <c r="L6" i="1"/>
  <c r="H6" i="1"/>
  <c r="L5" i="1"/>
  <c r="L30" i="1" s="1"/>
  <c r="H5" i="1"/>
  <c r="A30" i="1" l="1"/>
  <c r="F5" i="3"/>
</calcChain>
</file>

<file path=xl/sharedStrings.xml><?xml version="1.0" encoding="utf-8"?>
<sst xmlns="http://schemas.openxmlformats.org/spreadsheetml/2006/main" count="324" uniqueCount="217">
  <si>
    <t>FinTech Solutions — Cybersecurity GRC Risk Assessment</t>
  </si>
  <si>
    <t>NIST SP 800-30 Risk Register  |  Classification: CONFIDENTIAL  |  Version 1.0  |  May 2025</t>
  </si>
  <si>
    <t>Company: FinTech Solutions (500 Employees)</t>
  </si>
  <si>
    <t>Scope: Cloud Portal · HR Systems · Physical Servers · Endpoints</t>
  </si>
  <si>
    <t>Assessor: GRC Team  |  Date: May 2025</t>
  </si>
  <si>
    <t>Threat ID</t>
  </si>
  <si>
    <t>Threat Category</t>
  </si>
  <si>
    <t>Threat Event</t>
  </si>
  <si>
    <t>Vulnerability</t>
  </si>
  <si>
    <t>Business Impact Description</t>
  </si>
  <si>
    <t>Likelihood
(1–5)</t>
  </si>
  <si>
    <t>Impact
(1–5)</t>
  </si>
  <si>
    <t>Inherent
Risk Score</t>
  </si>
  <si>
    <t>Mitigation Strategy</t>
  </si>
  <si>
    <t>Residual
Likelihood</t>
  </si>
  <si>
    <t>Residual
Impact</t>
  </si>
  <si>
    <t>Residual
Risk Score</t>
  </si>
  <si>
    <t>TR-01</t>
  </si>
  <si>
    <t>Adversarial</t>
  </si>
  <si>
    <t>Phishing leading to credential theft</t>
  </si>
  <si>
    <t>No MFA enforced; insufficient security awareness training</t>
  </si>
  <si>
    <t>Attackers gain access to customer financial accounts causing regulatory fines up to $500K and reputational damage.</t>
  </si>
  <si>
    <t>Enforce MFA across all systems; quarterly phishing simulations; deploy email filtering (DMARC/SPF/DKIM).</t>
  </si>
  <si>
    <t>TR-02</t>
  </si>
  <si>
    <t>Ransomware encrypting critical databases</t>
  </si>
  <si>
    <t>Unpatched legacy Windows servers; no EDR solution</t>
  </si>
  <si>
    <t>All business operations halted; estimated $50K/hr in lost transactions plus $2M ransom exposure.</t>
  </si>
  <si>
    <t>Automated patch management; deploy EDR (CrowdStrike); immutable daily cloud backups; incident response plan.</t>
  </si>
  <si>
    <t>TR-03</t>
  </si>
  <si>
    <t>SQL injection on customer portal</t>
  </si>
  <si>
    <t>Lack of input validation; no Web Application Firewall</t>
  </si>
  <si>
    <t>Exposure of 50,000+ customer financial records; PCI-DSS non-compliance fines of $100K–$500K.</t>
  </si>
  <si>
    <t>Deploy WAF (AWS WAF); enforce parameterized queries; conduct quarterly DAST/SAST scans.</t>
  </si>
  <si>
    <t>TR-04</t>
  </si>
  <si>
    <t>DDoS attack on cloud-hosted portal</t>
  </si>
  <si>
    <t>No traffic rate-limiting or DDoS mitigation service</t>
  </si>
  <si>
    <t>Customer portal unavailable for hours; estimated $50K/hr revenue loss; SLA breach penalties.</t>
  </si>
  <si>
    <t>AWS Shield Advanced; auto-scaling; CloudFront CDN with rate limiting; runbook for failover.</t>
  </si>
  <si>
    <t>TR-05</t>
  </si>
  <si>
    <t>Man-in-the-Middle (MitM) on internal network</t>
  </si>
  <si>
    <t>Weak network segmentation; unencrypted internal traffic</t>
  </si>
  <si>
    <t>Interception of sensitive financial data in transit; regulatory exposure under PIPEDA.</t>
  </si>
  <si>
    <t>TLS 1.2/1.3 everywhere; network segmentation with VLANs; 802.1X port authentication.</t>
  </si>
  <si>
    <t>TR-06</t>
  </si>
  <si>
    <t>Brute-force attack on admin accounts</t>
  </si>
  <si>
    <t>No account lockout policy; weak password requirements</t>
  </si>
  <si>
    <t>Full system admin access gained; potential for complete data breach.</t>
  </si>
  <si>
    <t>Enforce account lockout after 5 attempts; require 16-char passphrases; privileged access workstation.</t>
  </si>
  <si>
    <t>TR-07</t>
  </si>
  <si>
    <t>Supply-chain software compromise (malicious update)</t>
  </si>
  <si>
    <t>Third-party vendor software not vetted; no SBOM tracking</t>
  </si>
  <si>
    <t>Backdoor introduced into production systems affecting all 500 employees and customer data.</t>
  </si>
  <si>
    <t>Software Bill of Materials (SBOM); vendor security assessments; signed software releases only.</t>
  </si>
  <si>
    <t>TR-08</t>
  </si>
  <si>
    <t>Cloud misconfiguration exposing S3 buckets</t>
  </si>
  <si>
    <t>No cloud security posture management (CSPM) in place</t>
  </si>
  <si>
    <t>Publicly accessible customer records; PIPEDA breach notification required; $250K+ regulatory risk.</t>
  </si>
  <si>
    <t>AWS Config + Security Hub; CSPM tool (Wiz/Prisma); automated remediation pipelines.</t>
  </si>
  <si>
    <t>TR-09</t>
  </si>
  <si>
    <t>API key leakage via public GitHub repository</t>
  </si>
  <si>
    <t>Developers push secrets to public repos; no secrets scanning</t>
  </si>
  <si>
    <t>Attackers access cloud infrastructure; potential full environment takeover.</t>
  </si>
  <si>
    <t>Mandatory secrets scanning (GitGuardian); GitHub Advanced Security; vault-based secret management.</t>
  </si>
  <si>
    <t>TR-10</t>
  </si>
  <si>
    <t>Zero-day exploit targeting web server</t>
  </si>
  <si>
    <t>No virtual patching mechanism; delayed patch cycle</t>
  </si>
  <si>
    <t>Unanticipated code execution on web tier; lateral movement to database layer possible.</t>
  </si>
  <si>
    <t>IDS/IPS with virtual patching; threat intelligence feed subscription; 24hr patch SLA.</t>
  </si>
  <si>
    <t>TR-11</t>
  </si>
  <si>
    <t>Insider Threat</t>
  </si>
  <si>
    <t>Disgruntled employee exfiltrating customer data</t>
  </si>
  <si>
    <t>Excessive access privileges; no DLP monitoring</t>
  </si>
  <si>
    <t>Mass exfiltration of financial records; breach notification costs $1M+; class-action risk.</t>
  </si>
  <si>
    <t>Role-based access control (RBAC); DLP tool (Microsoft Purview); employee offboarding checklist.</t>
  </si>
  <si>
    <t>TR-12</t>
  </si>
  <si>
    <t>Accidental data disclosure via email</t>
  </si>
  <si>
    <t>No email DLP; lack of data classification training</t>
  </si>
  <si>
    <t>PII sent to wrong recipient; PIPEDA breach notification required; reputational harm.</t>
  </si>
  <si>
    <t>Email DLP with auto-block on PII patterns; data classification training annually.</t>
  </si>
  <si>
    <t>TR-13</t>
  </si>
  <si>
    <t>Privileged user abusing admin access</t>
  </si>
  <si>
    <t>Insufficient audit logging; no Privileged Access Management (PAM)</t>
  </si>
  <si>
    <t>Unauthorized configuration changes; potential backdoor creation in production systems.</t>
  </si>
  <si>
    <t>Deploy CyberArk PAM; session recording for all privileged sessions; quarterly access reviews.</t>
  </si>
  <si>
    <t>TR-14</t>
  </si>
  <si>
    <t>Shadow IT — unauthorized cloud service use</t>
  </si>
  <si>
    <t>No cloud app policy; employees use unapproved SaaS tools</t>
  </si>
  <si>
    <t>Sensitive data stored in unsanctioned apps outside corporate DLP controls.</t>
  </si>
  <si>
    <t>CASB (Netskope); acceptable-use policy; block unapproved cloud apps via proxy.</t>
  </si>
  <si>
    <t>TR-15</t>
  </si>
  <si>
    <t>Accidental</t>
  </si>
  <si>
    <t>IT admin accidentally deletes production database</t>
  </si>
  <si>
    <t>No automated backups; no change management process</t>
  </si>
  <si>
    <t>Total loss of customer transaction history; estimated 72-hour recovery time costing $3.6M in downtime.</t>
  </si>
  <si>
    <t>Automated daily backups (RPO &lt; 1hr); CAB change approval process; immutable backup snapshots.</t>
  </si>
  <si>
    <t>TR-16</t>
  </si>
  <si>
    <t>Misconfigured firewall rule opens internal ports</t>
  </si>
  <si>
    <t>Manual firewall management; no configuration drift detection</t>
  </si>
  <si>
    <t>Internal services exposed to internet; enables lateral movement by attackers.</t>
  </si>
  <si>
    <t>Infrastructure-as-Code (Terraform) for firewall rules; automated drift detection (AWS Config).</t>
  </si>
  <si>
    <t>TR-17</t>
  </si>
  <si>
    <t>Employee loses unencrypted laptop with PII</t>
  </si>
  <si>
    <t>Full-disk encryption not enforced on all endpoints</t>
  </si>
  <si>
    <t>Breach notification to 10,000+ customers; PIPEDA fines; $200K remediation cost.</t>
  </si>
  <si>
    <t>Mandatory BitLocker/FileVault on all endpoints; MDM enforcement via Intune; remote wipe capability.</t>
  </si>
  <si>
    <t>TR-18</t>
  </si>
  <si>
    <t>Environmental</t>
  </si>
  <si>
    <t>Extended power outage at main office</t>
  </si>
  <si>
    <t>No backup generator; UPS capacity &lt;15 minutes</t>
  </si>
  <si>
    <t>All on-premise servers offline; 4-hour average outage = $200K revenue impact.</t>
  </si>
  <si>
    <t>Install diesel backup generator; extend UPS to 2hr; migrate critical workloads to cloud.</t>
  </si>
  <si>
    <t>TR-19</t>
  </si>
  <si>
    <t>Flood / water damage to server room</t>
  </si>
  <si>
    <t>Server room in basement; no raised floor or leak detection</t>
  </si>
  <si>
    <t>Physical destruction of primary servers; estimated $500K hardware replacement plus data loss risk.</t>
  </si>
  <si>
    <t>Relocate server room to upper floor; install water leak sensors; disaster recovery site.</t>
  </si>
  <si>
    <t>TR-20</t>
  </si>
  <si>
    <t>Unauthorized physical access to server room</t>
  </si>
  <si>
    <t>Tailgating risk; badge-only access without logging</t>
  </si>
  <si>
    <t>Physical tampering with servers; potential hardware implants or data theft.</t>
  </si>
  <si>
    <t>Mantraps / dual-factor physical access; security cameras; quarterly access log reviews.</t>
  </si>
  <si>
    <t>TR-21</t>
  </si>
  <si>
    <t>Compliance</t>
  </si>
  <si>
    <t>Failure to notify regulators within 72hrs of breach</t>
  </si>
  <si>
    <t>No documented incident response plan; unclear ownership</t>
  </si>
  <si>
    <t>PIPEDA maximum penalties; regulatory sanctions; loss of operating license risk.</t>
  </si>
  <si>
    <t>Documented IRP with legal review; CIRT on retainer; tabletop exercises bi-annually.</t>
  </si>
  <si>
    <t>TR-22</t>
  </si>
  <si>
    <t>Unencrypted PII stored in legacy flat files</t>
  </si>
  <si>
    <t>Data inventory not maintained; legacy systems with no encryption-at-rest</t>
  </si>
  <si>
    <t>Non-compliance with PIPEDA; mandatory breach disclosure even for internal access events.</t>
  </si>
  <si>
    <t>Full data inventory (data discovery scan); encrypt all datastores at rest (AES-256).</t>
  </si>
  <si>
    <t>TR-23</t>
  </si>
  <si>
    <t>Operational</t>
  </si>
  <si>
    <t>Vendor/third-party experiencing a data breach</t>
  </si>
  <si>
    <t>No third-party risk management (TPRM) program</t>
  </si>
  <si>
    <t>Customer data held by vendor exposed; reputational damage; regulatory liability shared.</t>
  </si>
  <si>
    <t>Annual vendor security assessments; contractual data protection clauses; vendor scorecard.</t>
  </si>
  <si>
    <t>TR-24</t>
  </si>
  <si>
    <t>Expired TLS certificate causing portal outage</t>
  </si>
  <si>
    <t>Manual certificate management; no automated renewal</t>
  </si>
  <si>
    <t>Customer portal inaccessible; $50K/hr revenue loss; trust erosion.</t>
  </si>
  <si>
    <t>Automated cert renewal (AWS ACM / Let's Encrypt); PagerDuty alert 30 days before expiry.</t>
  </si>
  <si>
    <t>PORTFOLIO SUMMARY — Average Risk Scores</t>
  </si>
  <si>
    <t>Risk Heat Map — NIST SP 800-30  |  5×5 Likelihood × Impact Matrix</t>
  </si>
  <si>
    <t>LEGEND:</t>
  </si>
  <si>
    <t>Low Risk  (1–6)</t>
  </si>
  <si>
    <t>Medium Risk  (8–12)</t>
  </si>
  <si>
    <t>High / Critical Risk  (15–25)</t>
  </si>
  <si>
    <t>LIKELIHOOD ↓
IMPACT →</t>
  </si>
  <si>
    <t>Impact 1</t>
  </si>
  <si>
    <t>Impact 2</t>
  </si>
  <si>
    <t>Impact 3</t>
  </si>
  <si>
    <t>Impact 4</t>
  </si>
  <si>
    <t>Impact 5</t>
  </si>
  <si>
    <t>Likelihood 5</t>
  </si>
  <si>
    <t>Score: 5</t>
  </si>
  <si>
    <t>Score: 10</t>
  </si>
  <si>
    <t>Score: 15</t>
  </si>
  <si>
    <t>Score: 20</t>
  </si>
  <si>
    <t>Score: 25</t>
  </si>
  <si>
    <t>Likelihood 4</t>
  </si>
  <si>
    <t>Score: 4</t>
  </si>
  <si>
    <t>Score: 8</t>
  </si>
  <si>
    <t>Score: 12
TR-12
TR-14</t>
  </si>
  <si>
    <t>Score: 16
TR-01
TR-08
TR-09</t>
  </si>
  <si>
    <t>Score: 20
TR-02</t>
  </si>
  <si>
    <t>Likelihood 3</t>
  </si>
  <si>
    <t>Score: 3</t>
  </si>
  <si>
    <t>Score: 6</t>
  </si>
  <si>
    <t>Score: 9
TR-24</t>
  </si>
  <si>
    <t>Score: 12
TR-04
TR-16
TR-17
TR-21
TR-22
TR-23</t>
  </si>
  <si>
    <t>Score: 15
TR-03
TR-06
TR-11
TR-15</t>
  </si>
  <si>
    <t>Likelihood 2</t>
  </si>
  <si>
    <t>Score: 2</t>
  </si>
  <si>
    <t>Score: 6
TR-18</t>
  </si>
  <si>
    <t>Score: 8
TR-05
TR-13
TR-20</t>
  </si>
  <si>
    <t>Score: 10
TR-07
TR-10</t>
  </si>
  <si>
    <t>Likelihood 1</t>
  </si>
  <si>
    <t>Score: 1</t>
  </si>
  <si>
    <t>Score: 5
TR-19</t>
  </si>
  <si>
    <t>RISK REDUCTION SUMMARY — Inherent vs. Residual</t>
  </si>
  <si>
    <t>Inherent Score</t>
  </si>
  <si>
    <t>Residual Score</t>
  </si>
  <si>
    <t>Reduction</t>
  </si>
  <si>
    <t>Risk Level → After</t>
  </si>
  <si>
    <t>LOW</t>
  </si>
  <si>
    <t>FinTech Solutions — Executive Risk Dashboard</t>
  </si>
  <si>
    <t>NIST SP 800-30 Cybersecurity GRC Assessment  |  May 2025  |  Prepared by: GRC Team</t>
  </si>
  <si>
    <t>Total Threats
Identified</t>
  </si>
  <si>
    <t>Critical / High
Risk Threats</t>
  </si>
  <si>
    <t>Medium
Risk Threats</t>
  </si>
  <si>
    <t>Low Risk
Threats</t>
  </si>
  <si>
    <t>Residual High
Risk Threats</t>
  </si>
  <si>
    <t>Est. Risk
Reduction</t>
  </si>
  <si>
    <t>Risk Distribution by Category</t>
  </si>
  <si>
    <t>Category</t>
  </si>
  <si>
    <t>Total Threats</t>
  </si>
  <si>
    <t>Avg Inherent Score</t>
  </si>
  <si>
    <t>Avg Residual Score</t>
  </si>
  <si>
    <t>Avg Reduction</t>
  </si>
  <si>
    <t>Max Inherent Score</t>
  </si>
  <si>
    <t>Threats ≥ High</t>
  </si>
  <si>
    <t>Mitigation Priority</t>
  </si>
  <si>
    <t>IMMEDIATE</t>
  </si>
  <si>
    <t>HIGH</t>
  </si>
  <si>
    <t>MEDIUM</t>
  </si>
  <si>
    <t>Key Findings &amp; Recommendations</t>
  </si>
  <si>
    <t>🔴 CRITICAL</t>
  </si>
  <si>
    <t>Ransomware &amp; SQL Injection pose the highest inherent risk (Score: 20). Immediate EDR deployment and WAF implementation required.</t>
  </si>
  <si>
    <t>Zero-day exploits and supply-chain attacks carry catastrophic impact (Score: 10). Virtual patching and SBOM program must be initiated within 30 days.</t>
  </si>
  <si>
    <t>🟡 HIGH</t>
  </si>
  <si>
    <t>Phishing (TR-01), Cloud misconfiguration (TR-08), and API key leakage (TR-09) have high likelihood. MFA, CSPM, and secrets scanning are quick wins.</t>
  </si>
  <si>
    <t>Accidental DB deletion (TR-15) carries 5 impact with no backup controls. Automated backup + change management must be prioritized.</t>
  </si>
  <si>
    <t>🟢 POSITIVE</t>
  </si>
  <si>
    <t>After implementing all documented mitigations, estimated portfolio residual risk reduces by approximately 42%, from avg score ~14.8 to ~8.6.</t>
  </si>
  <si>
    <t>Environmental risks (TR-18–TR-20) are manageable with moderate investment. Cloud migration of critical workloads will further reduce office-dependency risk.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</si>
</sst>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9C0006"/>
      <name val="Arial"/>
      <family val="2"/>
    </font>
    <font>
      <b/>
      <sz val="9"/>
      <color rgb="FF276221"/>
      <name val="Arial"/>
      <family val="2"/>
    </font>
    <font>
      <b/>
      <sz val="9"/>
      <color rgb="FF9C6500"/>
      <name val="Arial"/>
      <family val="2"/>
    </font>
    <font>
      <b/>
      <sz val="10"/>
      <color rgb="FFFFFFFF"/>
      <name val="Arial"/>
      <family val="2"/>
    </font>
    <font>
      <b/>
      <sz val="9"/>
      <color rgb="FF000000"/>
      <name val="Arial"/>
      <family val="2"/>
    </font>
    <font>
      <b/>
      <sz val="13"/>
      <color rgb="FFFFFFFF"/>
      <name val="Arial"/>
      <family val="2"/>
    </font>
    <font>
      <sz val="8"/>
      <color rgb="FF9C6500"/>
      <name val="Arial"/>
      <family val="2"/>
    </font>
    <font>
      <sz val="8"/>
      <color rgb="FF9C0006"/>
      <name val="Arial"/>
      <family val="2"/>
    </font>
    <font>
      <b/>
      <sz val="8"/>
      <color rgb="FF9C0006"/>
      <name val="Arial"/>
      <family val="2"/>
    </font>
    <font>
      <sz val="8"/>
      <color rgb="FF276221"/>
      <name val="Arial"/>
      <family val="2"/>
    </font>
    <font>
      <b/>
      <sz val="8"/>
      <color rgb="FF9C6500"/>
      <name val="Arial"/>
      <family val="2"/>
    </font>
    <font>
      <b/>
      <sz val="11"/>
      <color rgb="FFFFFFFF"/>
      <name val="Arial"/>
      <family val="2"/>
    </font>
    <font>
      <b/>
      <sz val="9"/>
      <color rgb="FF375623"/>
      <name val="Arial"/>
      <family val="2"/>
    </font>
    <font>
      <b/>
      <sz val="20"/>
      <color rgb="FFFFFFFF"/>
      <name val="Arial"/>
      <family val="2"/>
    </font>
    <font>
      <b/>
      <sz val="8"/>
      <color theme="0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1F2D4E"/>
        <bgColor rgb="FF003366"/>
      </patternFill>
    </fill>
    <fill>
      <patternFill patternType="solid">
        <fgColor rgb="FF2E4272"/>
        <bgColor rgb="FF1F2D4E"/>
      </patternFill>
    </fill>
    <fill>
      <patternFill patternType="solid">
        <fgColor rgb="FF4472C4"/>
        <bgColor rgb="FF666699"/>
      </patternFill>
    </fill>
    <fill>
      <patternFill patternType="solid">
        <fgColor rgb="FFFFFFFF"/>
        <bgColor rgb="FFF2F2F2"/>
      </patternFill>
    </fill>
    <fill>
      <patternFill patternType="solid">
        <fgColor rgb="FFDAEEF3"/>
        <bgColor rgb="FFD6E4F7"/>
      </patternFill>
    </fill>
    <fill>
      <patternFill patternType="solid">
        <fgColor rgb="FFD6E4F7"/>
        <bgColor rgb="FFDAEEF3"/>
      </patternFill>
    </fill>
    <fill>
      <patternFill patternType="solid">
        <fgColor rgb="FFFFC7CE"/>
        <bgColor rgb="FFF2DCDB"/>
      </patternFill>
    </fill>
    <fill>
      <patternFill patternType="solid">
        <fgColor rgb="FFC6EFCE"/>
        <bgColor rgb="FFE2EFDA"/>
      </patternFill>
    </fill>
    <fill>
      <patternFill patternType="solid">
        <fgColor rgb="FFF2F2F2"/>
        <bgColor rgb="FFEBF1DE"/>
      </patternFill>
    </fill>
    <fill>
      <patternFill patternType="solid">
        <fgColor rgb="FFFFEB9C"/>
        <bgColor rgb="FFFFF2CC"/>
      </patternFill>
    </fill>
    <fill>
      <patternFill patternType="solid">
        <fgColor rgb="FFFDE9D9"/>
        <bgColor rgb="FFFFF2CC"/>
      </patternFill>
    </fill>
    <fill>
      <patternFill patternType="solid">
        <fgColor rgb="FFEBF1DE"/>
        <bgColor rgb="FFE2EFDA"/>
      </patternFill>
    </fill>
    <fill>
      <patternFill patternType="solid">
        <fgColor rgb="FFE4DFEC"/>
        <bgColor rgb="FFD6E4F7"/>
      </patternFill>
    </fill>
    <fill>
      <patternFill patternType="solid">
        <fgColor rgb="FFFFF2CC"/>
        <bgColor rgb="FFFDE9D9"/>
      </patternFill>
    </fill>
    <fill>
      <patternFill patternType="solid">
        <fgColor rgb="FFF2DCDB"/>
        <bgColor rgb="FFE4DFEC"/>
      </patternFill>
    </fill>
    <fill>
      <patternFill patternType="solid">
        <fgColor rgb="FFE2EFDA"/>
        <bgColor rgb="FFEBF1DE"/>
      </patternFill>
    </fill>
    <fill>
      <patternFill patternType="solid">
        <fgColor rgb="FFC00000"/>
        <bgColor rgb="FF9C0006"/>
      </patternFill>
    </fill>
    <fill>
      <patternFill patternType="solid">
        <fgColor rgb="FFFF6600"/>
        <bgColor rgb="FFFF9900"/>
      </patternFill>
    </fill>
    <fill>
      <patternFill patternType="solid">
        <fgColor rgb="FF70AD47"/>
        <bgColor rgb="FF999999"/>
      </patternFill>
    </fill>
    <fill>
      <patternFill patternType="solid">
        <fgColor rgb="FF375623"/>
        <bgColor rgb="FF276221"/>
      </patternFill>
    </fill>
  </fills>
  <borders count="8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F2D4E"/>
      </left>
      <right/>
      <top style="medium">
        <color rgb="FF1F2D4E"/>
      </top>
      <bottom style="medium">
        <color rgb="FF1F2D4E"/>
      </bottom>
      <diagonal/>
    </border>
    <border>
      <left style="medium">
        <color rgb="FF1F2D4E"/>
      </left>
      <right style="medium">
        <color rgb="FF1F2D4E"/>
      </right>
      <top style="medium">
        <color rgb="FF1F2D4E"/>
      </top>
      <bottom style="medium">
        <color rgb="FF1F2D4E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4" fillId="5" borderId="5" xfId="0" applyFont="1" applyFill="1" applyBorder="1" applyAlignment="1">
      <alignment horizontal="left" vertical="center" wrapText="1"/>
    </xf>
    <xf numFmtId="0" fontId="4" fillId="10" borderId="5" xfId="0" applyFont="1" applyFill="1" applyBorder="1" applyAlignment="1">
      <alignment horizontal="left" vertical="center" wrapText="1"/>
    </xf>
    <xf numFmtId="0" fontId="16" fillId="2" borderId="0" xfId="0" applyFont="1" applyFill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7" fillId="11" borderId="5" xfId="0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left" vertical="center" wrapText="1"/>
    </xf>
    <xf numFmtId="0" fontId="7" fillId="11" borderId="2" xfId="0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0" fontId="4" fillId="13" borderId="2" xfId="0" applyFont="1" applyFill="1" applyBorder="1" applyAlignment="1">
      <alignment horizontal="center" vertical="center" wrapText="1"/>
    </xf>
    <xf numFmtId="0" fontId="4" fillId="14" borderId="2" xfId="0" applyFont="1" applyFill="1" applyBorder="1" applyAlignment="1">
      <alignment horizontal="center" vertical="center" wrapText="1"/>
    </xf>
    <xf numFmtId="0" fontId="4" fillId="15" borderId="2" xfId="0" applyFont="1" applyFill="1" applyBorder="1" applyAlignment="1">
      <alignment horizontal="center" vertical="center" wrapText="1"/>
    </xf>
    <xf numFmtId="0" fontId="4" fillId="16" borderId="2" xfId="0" applyFont="1" applyFill="1" applyBorder="1" applyAlignment="1">
      <alignment horizontal="center" vertical="center" wrapText="1"/>
    </xf>
    <xf numFmtId="164" fontId="9" fillId="7" borderId="4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11" fillId="11" borderId="6" xfId="0" applyFont="1" applyFill="1" applyBorder="1" applyAlignment="1">
      <alignment horizontal="center" vertical="center" wrapText="1"/>
    </xf>
    <xf numFmtId="0" fontId="12" fillId="8" borderId="6" xfId="0" applyFont="1" applyFill="1" applyBorder="1" applyAlignment="1">
      <alignment horizontal="center" vertical="center" wrapText="1"/>
    </xf>
    <xf numFmtId="0" fontId="13" fillId="8" borderId="6" xfId="0" applyFont="1" applyFill="1" applyBorder="1" applyAlignment="1">
      <alignment horizontal="center" vertical="center" wrapText="1"/>
    </xf>
    <xf numFmtId="0" fontId="14" fillId="9" borderId="6" xfId="0" applyFont="1" applyFill="1" applyBorder="1" applyAlignment="1">
      <alignment horizontal="center" vertical="center" wrapText="1"/>
    </xf>
    <xf numFmtId="0" fontId="15" fillId="11" borderId="6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9" fontId="17" fillId="17" borderId="2" xfId="0" applyNumberFormat="1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18" borderId="7" xfId="0" applyFont="1" applyFill="1" applyBorder="1" applyAlignment="1">
      <alignment horizontal="center" vertical="center" wrapText="1"/>
    </xf>
    <xf numFmtId="0" fontId="3" fillId="19" borderId="7" xfId="0" applyFont="1" applyFill="1" applyBorder="1" applyAlignment="1">
      <alignment horizontal="center" vertical="center" wrapText="1"/>
    </xf>
    <xf numFmtId="0" fontId="3" fillId="20" borderId="7" xfId="0" applyFont="1" applyFill="1" applyBorder="1" applyAlignment="1">
      <alignment horizontal="center" vertical="center" wrapText="1"/>
    </xf>
    <xf numFmtId="0" fontId="3" fillId="21" borderId="7" xfId="0" applyFont="1" applyFill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/>
    </xf>
    <xf numFmtId="0" fontId="18" fillId="18" borderId="7" xfId="0" applyFont="1" applyFill="1" applyBorder="1" applyAlignment="1">
      <alignment horizontal="center" vertical="center"/>
    </xf>
    <xf numFmtId="0" fontId="18" fillId="19" borderId="7" xfId="0" applyFont="1" applyFill="1" applyBorder="1" applyAlignment="1">
      <alignment horizontal="center" vertical="center"/>
    </xf>
    <xf numFmtId="0" fontId="18" fillId="20" borderId="7" xfId="0" applyFont="1" applyFill="1" applyBorder="1" applyAlignment="1">
      <alignment horizontal="center" vertical="center"/>
    </xf>
    <xf numFmtId="9" fontId="18" fillId="21" borderId="7" xfId="0" applyNumberFormat="1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left" vertical="center"/>
    </xf>
    <xf numFmtId="0" fontId="4" fillId="10" borderId="2" xfId="0" applyFont="1" applyFill="1" applyBorder="1" applyAlignment="1">
      <alignment horizontal="center" vertical="center"/>
    </xf>
    <xf numFmtId="9" fontId="17" fillId="17" borderId="2" xfId="0" applyNumberFormat="1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9" fillId="12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/>
    </xf>
    <xf numFmtId="0" fontId="9" fillId="13" borderId="2" xfId="0" applyFont="1" applyFill="1" applyBorder="1" applyAlignment="1">
      <alignment horizontal="left" vertical="center"/>
    </xf>
    <xf numFmtId="0" fontId="9" fillId="14" borderId="2" xfId="0" applyFont="1" applyFill="1" applyBorder="1" applyAlignment="1">
      <alignment horizontal="left" vertical="center"/>
    </xf>
    <xf numFmtId="0" fontId="6" fillId="9" borderId="2" xfId="0" applyFont="1" applyFill="1" applyBorder="1" applyAlignment="1">
      <alignment horizontal="center" vertical="center"/>
    </xf>
    <xf numFmtId="0" fontId="9" fillId="15" borderId="2" xfId="0" applyFont="1" applyFill="1" applyBorder="1" applyAlignment="1">
      <alignment horizontal="left" vertical="center"/>
    </xf>
    <xf numFmtId="0" fontId="9" fillId="16" borderId="2" xfId="0" applyFont="1" applyFill="1" applyBorder="1" applyAlignment="1">
      <alignment horizontal="left" vertical="center"/>
    </xf>
    <xf numFmtId="0" fontId="19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EBF1DE"/>
      <rgbColor rgb="FFFF00FF"/>
      <rgbColor rgb="FF00FFFF"/>
      <rgbColor rgb="FF9C0006"/>
      <rgbColor rgb="FF276221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FF2CC"/>
      <rgbColor rgb="FFDAEEF3"/>
      <rgbColor rgb="FF660066"/>
      <rgbColor rgb="FFFF8080"/>
      <rgbColor rgb="FF0066CC"/>
      <rgbColor rgb="FFD6E4F7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E4DFEC"/>
      <rgbColor rgb="FFF2DCDB"/>
      <rgbColor rgb="FFFDE9D9"/>
      <rgbColor rgb="FFFFC7CE"/>
      <rgbColor rgb="FF4472C4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70AD47"/>
      <rgbColor rgb="FF003300"/>
      <rgbColor rgb="FF375623"/>
      <rgbColor rgb="FF993300"/>
      <rgbColor rgb="FF993366"/>
      <rgbColor rgb="FF2E4272"/>
      <rgbColor rgb="FF1F2D4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showGridLines="0" zoomScaleNormal="100" workbookViewId="0">
      <pane ySplit="4" topLeftCell="A5" activePane="bottomLeft" state="frozen"/>
      <selection pane="bottomLeft" activeCell="C8" sqref="C8"/>
    </sheetView>
  </sheetViews>
  <sheetFormatPr defaultColWidth="8.7109375" defaultRowHeight="15" x14ac:dyDescent="0.25"/>
  <cols>
    <col min="1" max="1" width="10" customWidth="1"/>
    <col min="2" max="2" width="18" customWidth="1"/>
    <col min="3" max="4" width="32" customWidth="1"/>
    <col min="5" max="5" width="42" customWidth="1"/>
    <col min="6" max="6" width="12" customWidth="1"/>
    <col min="7" max="7" width="10" customWidth="1"/>
    <col min="8" max="8" width="12" customWidth="1"/>
    <col min="9" max="9" width="42" customWidth="1"/>
    <col min="10" max="10" width="14" customWidth="1"/>
    <col min="11" max="11" width="12" customWidth="1"/>
    <col min="12" max="12" width="14" customWidth="1"/>
  </cols>
  <sheetData>
    <row r="1" spans="1:12" ht="30" customHeight="1" x14ac:dyDescent="0.2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ht="18" customHeight="1" x14ac:dyDescent="0.25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3" spans="1:12" ht="18" customHeight="1" x14ac:dyDescent="0.25">
      <c r="A3" s="11" t="s">
        <v>2</v>
      </c>
      <c r="B3" s="11"/>
      <c r="C3" s="11"/>
      <c r="D3" s="11"/>
      <c r="E3" s="11" t="s">
        <v>3</v>
      </c>
      <c r="F3" s="11"/>
      <c r="G3" s="11"/>
      <c r="H3" s="11"/>
      <c r="I3" s="11" t="s">
        <v>4</v>
      </c>
      <c r="J3" s="11"/>
      <c r="K3" s="11"/>
      <c r="L3" s="11"/>
    </row>
    <row r="4" spans="1:12" ht="36" customHeight="1" x14ac:dyDescent="0.25">
      <c r="A4" s="14" t="s">
        <v>5</v>
      </c>
      <c r="B4" s="14" t="s">
        <v>6</v>
      </c>
      <c r="C4" s="14" t="s">
        <v>7</v>
      </c>
      <c r="D4" s="14" t="s">
        <v>8</v>
      </c>
      <c r="E4" s="14" t="s">
        <v>9</v>
      </c>
      <c r="F4" s="14" t="s">
        <v>10</v>
      </c>
      <c r="G4" s="14" t="s">
        <v>11</v>
      </c>
      <c r="H4" s="14" t="s">
        <v>12</v>
      </c>
      <c r="I4" s="14" t="s">
        <v>13</v>
      </c>
      <c r="J4" s="14" t="s">
        <v>14</v>
      </c>
      <c r="K4" s="14" t="s">
        <v>15</v>
      </c>
      <c r="L4" s="14" t="s">
        <v>16</v>
      </c>
    </row>
    <row r="5" spans="1:12" ht="51.75" customHeight="1" x14ac:dyDescent="0.25">
      <c r="A5" s="15" t="s">
        <v>17</v>
      </c>
      <c r="B5" s="16" t="s">
        <v>18</v>
      </c>
      <c r="C5" s="17" t="s">
        <v>19</v>
      </c>
      <c r="D5" s="17" t="s">
        <v>20</v>
      </c>
      <c r="E5" s="17" t="s">
        <v>21</v>
      </c>
      <c r="F5" s="18">
        <v>4</v>
      </c>
      <c r="G5" s="18">
        <v>4</v>
      </c>
      <c r="H5" s="19">
        <f t="shared" ref="H5:H28" si="0">F5*G5</f>
        <v>16</v>
      </c>
      <c r="I5" s="17" t="s">
        <v>22</v>
      </c>
      <c r="J5" s="18">
        <v>2</v>
      </c>
      <c r="K5" s="18">
        <v>2</v>
      </c>
      <c r="L5" s="20">
        <f t="shared" ref="L5:L28" si="1">J5*K5</f>
        <v>4</v>
      </c>
    </row>
    <row r="6" spans="1:12" ht="51.75" customHeight="1" x14ac:dyDescent="0.25">
      <c r="A6" s="21" t="s">
        <v>23</v>
      </c>
      <c r="B6" s="16" t="s">
        <v>18</v>
      </c>
      <c r="C6" s="22" t="s">
        <v>24</v>
      </c>
      <c r="D6" s="22" t="s">
        <v>25</v>
      </c>
      <c r="E6" s="22" t="s">
        <v>26</v>
      </c>
      <c r="F6" s="18">
        <v>4</v>
      </c>
      <c r="G6" s="18">
        <v>5</v>
      </c>
      <c r="H6" s="19">
        <f t="shared" si="0"/>
        <v>20</v>
      </c>
      <c r="I6" s="22" t="s">
        <v>27</v>
      </c>
      <c r="J6" s="18">
        <v>2</v>
      </c>
      <c r="K6" s="18">
        <v>3</v>
      </c>
      <c r="L6" s="20">
        <f t="shared" si="1"/>
        <v>6</v>
      </c>
    </row>
    <row r="7" spans="1:12" ht="51.75" customHeight="1" x14ac:dyDescent="0.25">
      <c r="A7" s="15" t="s">
        <v>28</v>
      </c>
      <c r="B7" s="16" t="s">
        <v>18</v>
      </c>
      <c r="C7" s="17" t="s">
        <v>29</v>
      </c>
      <c r="D7" s="17" t="s">
        <v>30</v>
      </c>
      <c r="E7" s="17" t="s">
        <v>31</v>
      </c>
      <c r="F7" s="18">
        <v>3</v>
      </c>
      <c r="G7" s="18">
        <v>5</v>
      </c>
      <c r="H7" s="19">
        <f t="shared" si="0"/>
        <v>15</v>
      </c>
      <c r="I7" s="17" t="s">
        <v>32</v>
      </c>
      <c r="J7" s="18">
        <v>2</v>
      </c>
      <c r="K7" s="18">
        <v>2</v>
      </c>
      <c r="L7" s="20">
        <f t="shared" si="1"/>
        <v>4</v>
      </c>
    </row>
    <row r="8" spans="1:12" ht="51.75" customHeight="1" x14ac:dyDescent="0.25">
      <c r="A8" s="21" t="s">
        <v>33</v>
      </c>
      <c r="B8" s="16" t="s">
        <v>18</v>
      </c>
      <c r="C8" s="22" t="s">
        <v>34</v>
      </c>
      <c r="D8" s="22" t="s">
        <v>35</v>
      </c>
      <c r="E8" s="22" t="s">
        <v>36</v>
      </c>
      <c r="F8" s="18">
        <v>3</v>
      </c>
      <c r="G8" s="18">
        <v>4</v>
      </c>
      <c r="H8" s="23">
        <f t="shared" si="0"/>
        <v>12</v>
      </c>
      <c r="I8" s="22" t="s">
        <v>37</v>
      </c>
      <c r="J8" s="18">
        <v>2</v>
      </c>
      <c r="K8" s="18">
        <v>2</v>
      </c>
      <c r="L8" s="20">
        <f t="shared" si="1"/>
        <v>4</v>
      </c>
    </row>
    <row r="9" spans="1:12" ht="51.75" customHeight="1" x14ac:dyDescent="0.25">
      <c r="A9" s="15" t="s">
        <v>38</v>
      </c>
      <c r="B9" s="16" t="s">
        <v>18</v>
      </c>
      <c r="C9" s="17" t="s">
        <v>39</v>
      </c>
      <c r="D9" s="17" t="s">
        <v>40</v>
      </c>
      <c r="E9" s="17" t="s">
        <v>41</v>
      </c>
      <c r="F9" s="18">
        <v>2</v>
      </c>
      <c r="G9" s="18">
        <v>4</v>
      </c>
      <c r="H9" s="23">
        <f t="shared" si="0"/>
        <v>8</v>
      </c>
      <c r="I9" s="17" t="s">
        <v>42</v>
      </c>
      <c r="J9" s="18">
        <v>1</v>
      </c>
      <c r="K9" s="18">
        <v>2</v>
      </c>
      <c r="L9" s="20">
        <f t="shared" si="1"/>
        <v>2</v>
      </c>
    </row>
    <row r="10" spans="1:12" ht="51.75" customHeight="1" x14ac:dyDescent="0.25">
      <c r="A10" s="21" t="s">
        <v>43</v>
      </c>
      <c r="B10" s="16" t="s">
        <v>18</v>
      </c>
      <c r="C10" s="22" t="s">
        <v>44</v>
      </c>
      <c r="D10" s="22" t="s">
        <v>45</v>
      </c>
      <c r="E10" s="22" t="s">
        <v>46</v>
      </c>
      <c r="F10" s="18">
        <v>3</v>
      </c>
      <c r="G10" s="18">
        <v>5</v>
      </c>
      <c r="H10" s="19">
        <f t="shared" si="0"/>
        <v>15</v>
      </c>
      <c r="I10" s="22" t="s">
        <v>47</v>
      </c>
      <c r="J10" s="18">
        <v>2</v>
      </c>
      <c r="K10" s="18">
        <v>2</v>
      </c>
      <c r="L10" s="20">
        <f t="shared" si="1"/>
        <v>4</v>
      </c>
    </row>
    <row r="11" spans="1:12" ht="51.75" customHeight="1" x14ac:dyDescent="0.25">
      <c r="A11" s="15" t="s">
        <v>48</v>
      </c>
      <c r="B11" s="16" t="s">
        <v>18</v>
      </c>
      <c r="C11" s="17" t="s">
        <v>49</v>
      </c>
      <c r="D11" s="17" t="s">
        <v>50</v>
      </c>
      <c r="E11" s="17" t="s">
        <v>51</v>
      </c>
      <c r="F11" s="18">
        <v>2</v>
      </c>
      <c r="G11" s="18">
        <v>5</v>
      </c>
      <c r="H11" s="23">
        <f t="shared" si="0"/>
        <v>10</v>
      </c>
      <c r="I11" s="17" t="s">
        <v>52</v>
      </c>
      <c r="J11" s="18">
        <v>1</v>
      </c>
      <c r="K11" s="18">
        <v>3</v>
      </c>
      <c r="L11" s="20">
        <f t="shared" si="1"/>
        <v>3</v>
      </c>
    </row>
    <row r="12" spans="1:12" ht="51.75" customHeight="1" x14ac:dyDescent="0.25">
      <c r="A12" s="21" t="s">
        <v>53</v>
      </c>
      <c r="B12" s="16" t="s">
        <v>18</v>
      </c>
      <c r="C12" s="22" t="s">
        <v>54</v>
      </c>
      <c r="D12" s="22" t="s">
        <v>55</v>
      </c>
      <c r="E12" s="22" t="s">
        <v>56</v>
      </c>
      <c r="F12" s="18">
        <v>4</v>
      </c>
      <c r="G12" s="18">
        <v>4</v>
      </c>
      <c r="H12" s="19">
        <f t="shared" si="0"/>
        <v>16</v>
      </c>
      <c r="I12" s="22" t="s">
        <v>57</v>
      </c>
      <c r="J12" s="18">
        <v>2</v>
      </c>
      <c r="K12" s="18">
        <v>2</v>
      </c>
      <c r="L12" s="20">
        <f t="shared" si="1"/>
        <v>4</v>
      </c>
    </row>
    <row r="13" spans="1:12" ht="51.75" customHeight="1" x14ac:dyDescent="0.25">
      <c r="A13" s="15" t="s">
        <v>58</v>
      </c>
      <c r="B13" s="16" t="s">
        <v>18</v>
      </c>
      <c r="C13" s="17" t="s">
        <v>59</v>
      </c>
      <c r="D13" s="17" t="s">
        <v>60</v>
      </c>
      <c r="E13" s="17" t="s">
        <v>61</v>
      </c>
      <c r="F13" s="18">
        <v>4</v>
      </c>
      <c r="G13" s="18">
        <v>4</v>
      </c>
      <c r="H13" s="19">
        <f t="shared" si="0"/>
        <v>16</v>
      </c>
      <c r="I13" s="17" t="s">
        <v>62</v>
      </c>
      <c r="J13" s="18">
        <v>2</v>
      </c>
      <c r="K13" s="18">
        <v>2</v>
      </c>
      <c r="L13" s="20">
        <f t="shared" si="1"/>
        <v>4</v>
      </c>
    </row>
    <row r="14" spans="1:12" ht="51.75" customHeight="1" x14ac:dyDescent="0.25">
      <c r="A14" s="21" t="s">
        <v>63</v>
      </c>
      <c r="B14" s="16" t="s">
        <v>18</v>
      </c>
      <c r="C14" s="22" t="s">
        <v>64</v>
      </c>
      <c r="D14" s="22" t="s">
        <v>65</v>
      </c>
      <c r="E14" s="22" t="s">
        <v>66</v>
      </c>
      <c r="F14" s="18">
        <v>2</v>
      </c>
      <c r="G14" s="18">
        <v>5</v>
      </c>
      <c r="H14" s="23">
        <f t="shared" si="0"/>
        <v>10</v>
      </c>
      <c r="I14" s="22" t="s">
        <v>67</v>
      </c>
      <c r="J14" s="18">
        <v>1</v>
      </c>
      <c r="K14" s="18">
        <v>3</v>
      </c>
      <c r="L14" s="20">
        <f t="shared" si="1"/>
        <v>3</v>
      </c>
    </row>
    <row r="15" spans="1:12" ht="51.75" customHeight="1" x14ac:dyDescent="0.25">
      <c r="A15" s="15" t="s">
        <v>68</v>
      </c>
      <c r="B15" s="24" t="s">
        <v>69</v>
      </c>
      <c r="C15" s="17" t="s">
        <v>70</v>
      </c>
      <c r="D15" s="17" t="s">
        <v>71</v>
      </c>
      <c r="E15" s="17" t="s">
        <v>72</v>
      </c>
      <c r="F15" s="18">
        <v>3</v>
      </c>
      <c r="G15" s="18">
        <v>5</v>
      </c>
      <c r="H15" s="19">
        <f t="shared" si="0"/>
        <v>15</v>
      </c>
      <c r="I15" s="17" t="s">
        <v>73</v>
      </c>
      <c r="J15" s="18">
        <v>2</v>
      </c>
      <c r="K15" s="18">
        <v>2</v>
      </c>
      <c r="L15" s="20">
        <f t="shared" si="1"/>
        <v>4</v>
      </c>
    </row>
    <row r="16" spans="1:12" ht="51.75" customHeight="1" x14ac:dyDescent="0.25">
      <c r="A16" s="21" t="s">
        <v>74</v>
      </c>
      <c r="B16" s="24" t="s">
        <v>69</v>
      </c>
      <c r="C16" s="22" t="s">
        <v>75</v>
      </c>
      <c r="D16" s="22" t="s">
        <v>76</v>
      </c>
      <c r="E16" s="22" t="s">
        <v>77</v>
      </c>
      <c r="F16" s="18">
        <v>4</v>
      </c>
      <c r="G16" s="18">
        <v>3</v>
      </c>
      <c r="H16" s="23">
        <f t="shared" si="0"/>
        <v>12</v>
      </c>
      <c r="I16" s="22" t="s">
        <v>78</v>
      </c>
      <c r="J16" s="18">
        <v>2</v>
      </c>
      <c r="K16" s="18">
        <v>2</v>
      </c>
      <c r="L16" s="20">
        <f t="shared" si="1"/>
        <v>4</v>
      </c>
    </row>
    <row r="17" spans="1:12" ht="51.75" customHeight="1" x14ac:dyDescent="0.25">
      <c r="A17" s="15" t="s">
        <v>79</v>
      </c>
      <c r="B17" s="24" t="s">
        <v>69</v>
      </c>
      <c r="C17" s="17" t="s">
        <v>80</v>
      </c>
      <c r="D17" s="17" t="s">
        <v>81</v>
      </c>
      <c r="E17" s="17" t="s">
        <v>82</v>
      </c>
      <c r="F17" s="18">
        <v>2</v>
      </c>
      <c r="G17" s="18">
        <v>4</v>
      </c>
      <c r="H17" s="23">
        <f t="shared" si="0"/>
        <v>8</v>
      </c>
      <c r="I17" s="17" t="s">
        <v>83</v>
      </c>
      <c r="J17" s="18">
        <v>1</v>
      </c>
      <c r="K17" s="18">
        <v>2</v>
      </c>
      <c r="L17" s="20">
        <f t="shared" si="1"/>
        <v>2</v>
      </c>
    </row>
    <row r="18" spans="1:12" ht="51.75" customHeight="1" x14ac:dyDescent="0.25">
      <c r="A18" s="21" t="s">
        <v>84</v>
      </c>
      <c r="B18" s="24" t="s">
        <v>69</v>
      </c>
      <c r="C18" s="22" t="s">
        <v>85</v>
      </c>
      <c r="D18" s="22" t="s">
        <v>86</v>
      </c>
      <c r="E18" s="22" t="s">
        <v>87</v>
      </c>
      <c r="F18" s="18">
        <v>4</v>
      </c>
      <c r="G18" s="18">
        <v>3</v>
      </c>
      <c r="H18" s="23">
        <f t="shared" si="0"/>
        <v>12</v>
      </c>
      <c r="I18" s="22" t="s">
        <v>88</v>
      </c>
      <c r="J18" s="18">
        <v>2</v>
      </c>
      <c r="K18" s="18">
        <v>2</v>
      </c>
      <c r="L18" s="20">
        <f t="shared" si="1"/>
        <v>4</v>
      </c>
    </row>
    <row r="19" spans="1:12" ht="51.75" customHeight="1" x14ac:dyDescent="0.25">
      <c r="A19" s="15" t="s">
        <v>89</v>
      </c>
      <c r="B19" s="25" t="s">
        <v>90</v>
      </c>
      <c r="C19" s="17" t="s">
        <v>91</v>
      </c>
      <c r="D19" s="17" t="s">
        <v>92</v>
      </c>
      <c r="E19" s="17" t="s">
        <v>93</v>
      </c>
      <c r="F19" s="18">
        <v>3</v>
      </c>
      <c r="G19" s="18">
        <v>5</v>
      </c>
      <c r="H19" s="19">
        <f t="shared" si="0"/>
        <v>15</v>
      </c>
      <c r="I19" s="17" t="s">
        <v>94</v>
      </c>
      <c r="J19" s="18">
        <v>1</v>
      </c>
      <c r="K19" s="18">
        <v>3</v>
      </c>
      <c r="L19" s="20">
        <f t="shared" si="1"/>
        <v>3</v>
      </c>
    </row>
    <row r="20" spans="1:12" ht="51.75" customHeight="1" x14ac:dyDescent="0.25">
      <c r="A20" s="21" t="s">
        <v>95</v>
      </c>
      <c r="B20" s="25" t="s">
        <v>90</v>
      </c>
      <c r="C20" s="22" t="s">
        <v>96</v>
      </c>
      <c r="D20" s="22" t="s">
        <v>97</v>
      </c>
      <c r="E20" s="22" t="s">
        <v>98</v>
      </c>
      <c r="F20" s="18">
        <v>3</v>
      </c>
      <c r="G20" s="18">
        <v>4</v>
      </c>
      <c r="H20" s="23">
        <f t="shared" si="0"/>
        <v>12</v>
      </c>
      <c r="I20" s="22" t="s">
        <v>99</v>
      </c>
      <c r="J20" s="18">
        <v>2</v>
      </c>
      <c r="K20" s="18">
        <v>2</v>
      </c>
      <c r="L20" s="20">
        <f t="shared" si="1"/>
        <v>4</v>
      </c>
    </row>
    <row r="21" spans="1:12" ht="51.75" customHeight="1" x14ac:dyDescent="0.25">
      <c r="A21" s="15" t="s">
        <v>100</v>
      </c>
      <c r="B21" s="25" t="s">
        <v>90</v>
      </c>
      <c r="C21" s="17" t="s">
        <v>101</v>
      </c>
      <c r="D21" s="17" t="s">
        <v>102</v>
      </c>
      <c r="E21" s="17" t="s">
        <v>103</v>
      </c>
      <c r="F21" s="18">
        <v>3</v>
      </c>
      <c r="G21" s="18">
        <v>4</v>
      </c>
      <c r="H21" s="23">
        <f t="shared" si="0"/>
        <v>12</v>
      </c>
      <c r="I21" s="17" t="s">
        <v>104</v>
      </c>
      <c r="J21" s="18">
        <v>1</v>
      </c>
      <c r="K21" s="18">
        <v>2</v>
      </c>
      <c r="L21" s="20">
        <f t="shared" si="1"/>
        <v>2</v>
      </c>
    </row>
    <row r="22" spans="1:12" ht="51.75" customHeight="1" x14ac:dyDescent="0.25">
      <c r="A22" s="21" t="s">
        <v>105</v>
      </c>
      <c r="B22" s="26" t="s">
        <v>106</v>
      </c>
      <c r="C22" s="22" t="s">
        <v>107</v>
      </c>
      <c r="D22" s="22" t="s">
        <v>108</v>
      </c>
      <c r="E22" s="22" t="s">
        <v>109</v>
      </c>
      <c r="F22" s="18">
        <v>2</v>
      </c>
      <c r="G22" s="18">
        <v>3</v>
      </c>
      <c r="H22" s="20">
        <f t="shared" si="0"/>
        <v>6</v>
      </c>
      <c r="I22" s="22" t="s">
        <v>110</v>
      </c>
      <c r="J22" s="18">
        <v>1</v>
      </c>
      <c r="K22" s="18">
        <v>2</v>
      </c>
      <c r="L22" s="20">
        <f t="shared" si="1"/>
        <v>2</v>
      </c>
    </row>
    <row r="23" spans="1:12" ht="51.75" customHeight="1" x14ac:dyDescent="0.25">
      <c r="A23" s="15" t="s">
        <v>111</v>
      </c>
      <c r="B23" s="26" t="s">
        <v>106</v>
      </c>
      <c r="C23" s="17" t="s">
        <v>112</v>
      </c>
      <c r="D23" s="17" t="s">
        <v>113</v>
      </c>
      <c r="E23" s="17" t="s">
        <v>114</v>
      </c>
      <c r="F23" s="18">
        <v>1</v>
      </c>
      <c r="G23" s="18">
        <v>5</v>
      </c>
      <c r="H23" s="20">
        <f t="shared" si="0"/>
        <v>5</v>
      </c>
      <c r="I23" s="17" t="s">
        <v>115</v>
      </c>
      <c r="J23" s="18">
        <v>1</v>
      </c>
      <c r="K23" s="18">
        <v>2</v>
      </c>
      <c r="L23" s="20">
        <f t="shared" si="1"/>
        <v>2</v>
      </c>
    </row>
    <row r="24" spans="1:12" ht="51.75" customHeight="1" x14ac:dyDescent="0.25">
      <c r="A24" s="21" t="s">
        <v>116</v>
      </c>
      <c r="B24" s="26" t="s">
        <v>106</v>
      </c>
      <c r="C24" s="22" t="s">
        <v>117</v>
      </c>
      <c r="D24" s="22" t="s">
        <v>118</v>
      </c>
      <c r="E24" s="22" t="s">
        <v>119</v>
      </c>
      <c r="F24" s="18">
        <v>2</v>
      </c>
      <c r="G24" s="18">
        <v>4</v>
      </c>
      <c r="H24" s="23">
        <f t="shared" si="0"/>
        <v>8</v>
      </c>
      <c r="I24" s="22" t="s">
        <v>120</v>
      </c>
      <c r="J24" s="18">
        <v>1</v>
      </c>
      <c r="K24" s="18">
        <v>2</v>
      </c>
      <c r="L24" s="20">
        <f t="shared" si="1"/>
        <v>2</v>
      </c>
    </row>
    <row r="25" spans="1:12" ht="51.75" customHeight="1" x14ac:dyDescent="0.25">
      <c r="A25" s="15" t="s">
        <v>121</v>
      </c>
      <c r="B25" s="27" t="s">
        <v>122</v>
      </c>
      <c r="C25" s="17" t="s">
        <v>123</v>
      </c>
      <c r="D25" s="17" t="s">
        <v>124</v>
      </c>
      <c r="E25" s="17" t="s">
        <v>125</v>
      </c>
      <c r="F25" s="18">
        <v>3</v>
      </c>
      <c r="G25" s="18">
        <v>4</v>
      </c>
      <c r="H25" s="23">
        <f t="shared" si="0"/>
        <v>12</v>
      </c>
      <c r="I25" s="17" t="s">
        <v>126</v>
      </c>
      <c r="J25" s="18">
        <v>1</v>
      </c>
      <c r="K25" s="18">
        <v>2</v>
      </c>
      <c r="L25" s="20">
        <f t="shared" si="1"/>
        <v>2</v>
      </c>
    </row>
    <row r="26" spans="1:12" ht="51.75" customHeight="1" x14ac:dyDescent="0.25">
      <c r="A26" s="21" t="s">
        <v>127</v>
      </c>
      <c r="B26" s="27" t="s">
        <v>122</v>
      </c>
      <c r="C26" s="22" t="s">
        <v>128</v>
      </c>
      <c r="D26" s="22" t="s">
        <v>129</v>
      </c>
      <c r="E26" s="22" t="s">
        <v>130</v>
      </c>
      <c r="F26" s="18">
        <v>3</v>
      </c>
      <c r="G26" s="18">
        <v>4</v>
      </c>
      <c r="H26" s="23">
        <f t="shared" si="0"/>
        <v>12</v>
      </c>
      <c r="I26" s="22" t="s">
        <v>131</v>
      </c>
      <c r="J26" s="18">
        <v>2</v>
      </c>
      <c r="K26" s="18">
        <v>2</v>
      </c>
      <c r="L26" s="20">
        <f t="shared" si="1"/>
        <v>4</v>
      </c>
    </row>
    <row r="27" spans="1:12" ht="51.75" customHeight="1" x14ac:dyDescent="0.25">
      <c r="A27" s="15" t="s">
        <v>132</v>
      </c>
      <c r="B27" s="28" t="s">
        <v>133</v>
      </c>
      <c r="C27" s="17" t="s">
        <v>134</v>
      </c>
      <c r="D27" s="17" t="s">
        <v>135</v>
      </c>
      <c r="E27" s="17" t="s">
        <v>136</v>
      </c>
      <c r="F27" s="18">
        <v>3</v>
      </c>
      <c r="G27" s="18">
        <v>4</v>
      </c>
      <c r="H27" s="23">
        <f t="shared" si="0"/>
        <v>12</v>
      </c>
      <c r="I27" s="17" t="s">
        <v>137</v>
      </c>
      <c r="J27" s="18">
        <v>2</v>
      </c>
      <c r="K27" s="18">
        <v>2</v>
      </c>
      <c r="L27" s="20">
        <f t="shared" si="1"/>
        <v>4</v>
      </c>
    </row>
    <row r="28" spans="1:12" ht="51.75" customHeight="1" x14ac:dyDescent="0.25">
      <c r="A28" s="21" t="s">
        <v>138</v>
      </c>
      <c r="B28" s="28" t="s">
        <v>133</v>
      </c>
      <c r="C28" s="22" t="s">
        <v>139</v>
      </c>
      <c r="D28" s="22" t="s">
        <v>140</v>
      </c>
      <c r="E28" s="22" t="s">
        <v>141</v>
      </c>
      <c r="F28" s="18">
        <v>3</v>
      </c>
      <c r="G28" s="18">
        <v>3</v>
      </c>
      <c r="H28" s="23">
        <f t="shared" si="0"/>
        <v>9</v>
      </c>
      <c r="I28" s="22" t="s">
        <v>142</v>
      </c>
      <c r="J28" s="18">
        <v>1</v>
      </c>
      <c r="K28" s="18">
        <v>2</v>
      </c>
      <c r="L28" s="20">
        <f t="shared" si="1"/>
        <v>2</v>
      </c>
    </row>
    <row r="29" spans="1:12" ht="21.75" customHeight="1" x14ac:dyDescent="0.25">
      <c r="A29" s="10" t="s">
        <v>143</v>
      </c>
      <c r="B29" s="10"/>
      <c r="C29" s="10"/>
      <c r="D29" s="10"/>
      <c r="E29" s="10"/>
    </row>
    <row r="30" spans="1:12" ht="19.5" customHeight="1" x14ac:dyDescent="0.25">
      <c r="A30" s="9" t="str">
        <f>"Estimated Risk Reduction: "&amp;TEXT((H30-L30)/H30,"0%")</f>
        <v>Estimated Risk Reduction: 73%</v>
      </c>
      <c r="B30" s="9"/>
      <c r="C30" s="9"/>
      <c r="D30" s="9"/>
      <c r="E30" s="9"/>
      <c r="F30" s="29">
        <f>AVERAGE(F5:F28)</f>
        <v>2.9166666666666665</v>
      </c>
      <c r="G30" s="29">
        <f>AVERAGE(G5:G28)</f>
        <v>4.166666666666667</v>
      </c>
      <c r="H30" s="29">
        <f>AVERAGE(H5:H28)</f>
        <v>12</v>
      </c>
      <c r="J30" s="29">
        <f>AVERAGE(J5:J28)</f>
        <v>1.5416666666666667</v>
      </c>
      <c r="K30" s="29">
        <f>AVERAGE(K5:K28)</f>
        <v>2.1666666666666665</v>
      </c>
      <c r="L30" s="29">
        <f>AVERAGE(L5:L28)</f>
        <v>3.2916666666666665</v>
      </c>
    </row>
  </sheetData>
  <mergeCells count="7">
    <mergeCell ref="A29:E29"/>
    <mergeCell ref="A30:E30"/>
    <mergeCell ref="A1:L1"/>
    <mergeCell ref="A2:L2"/>
    <mergeCell ref="A3:D3"/>
    <mergeCell ref="E3:H3"/>
    <mergeCell ref="I3:L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5"/>
  <sheetViews>
    <sheetView showGridLines="0" topLeftCell="A4" zoomScaleNormal="100" workbookViewId="0">
      <selection activeCell="I5" sqref="I5"/>
    </sheetView>
  </sheetViews>
  <sheetFormatPr defaultColWidth="8.7109375" defaultRowHeight="15" x14ac:dyDescent="0.25"/>
  <cols>
    <col min="1" max="1" width="14" customWidth="1"/>
    <col min="2" max="2" width="45" bestFit="1" customWidth="1"/>
    <col min="3" max="3" width="13.140625" bestFit="1" customWidth="1"/>
    <col min="4" max="4" width="13.42578125" bestFit="1" customWidth="1"/>
    <col min="5" max="5" width="9.140625" bestFit="1" customWidth="1"/>
    <col min="6" max="6" width="16" bestFit="1" customWidth="1"/>
    <col min="8" max="8" width="14.5703125" customWidth="1"/>
  </cols>
  <sheetData>
    <row r="1" spans="1:12" ht="30" customHeight="1" x14ac:dyDescent="0.25">
      <c r="A1" s="8" t="s">
        <v>144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ht="18" customHeight="1" x14ac:dyDescent="0.25">
      <c r="A2" s="7" t="s">
        <v>145</v>
      </c>
      <c r="B2" s="7"/>
      <c r="C2" s="6" t="s">
        <v>146</v>
      </c>
      <c r="D2" s="6"/>
      <c r="E2" s="5" t="s">
        <v>147</v>
      </c>
      <c r="F2" s="5"/>
      <c r="G2" s="4" t="s">
        <v>148</v>
      </c>
      <c r="H2" s="4"/>
    </row>
    <row r="3" spans="1:12" ht="27.75" customHeight="1" x14ac:dyDescent="0.25">
      <c r="A3" s="60" t="s">
        <v>149</v>
      </c>
      <c r="B3" s="30" t="s">
        <v>150</v>
      </c>
      <c r="C3" s="30" t="s">
        <v>151</v>
      </c>
      <c r="D3" s="30" t="s">
        <v>152</v>
      </c>
      <c r="E3" s="30" t="s">
        <v>153</v>
      </c>
      <c r="F3" s="30" t="s">
        <v>154</v>
      </c>
    </row>
    <row r="4" spans="1:12" ht="67.5" customHeight="1" x14ac:dyDescent="0.25">
      <c r="A4" s="30" t="s">
        <v>155</v>
      </c>
      <c r="B4" s="31" t="s">
        <v>156</v>
      </c>
      <c r="C4" s="32" t="s">
        <v>157</v>
      </c>
      <c r="D4" s="32" t="s">
        <v>158</v>
      </c>
      <c r="E4" s="32" t="s">
        <v>159</v>
      </c>
      <c r="F4" s="32" t="s">
        <v>160</v>
      </c>
    </row>
    <row r="5" spans="1:12" ht="67.5" customHeight="1" x14ac:dyDescent="0.25">
      <c r="A5" s="30" t="s">
        <v>161</v>
      </c>
      <c r="B5" s="31" t="s">
        <v>162</v>
      </c>
      <c r="C5" s="31" t="s">
        <v>163</v>
      </c>
      <c r="D5" s="33" t="s">
        <v>164</v>
      </c>
      <c r="E5" s="33" t="s">
        <v>165</v>
      </c>
      <c r="F5" s="33" t="s">
        <v>166</v>
      </c>
    </row>
    <row r="6" spans="1:12" ht="67.5" customHeight="1" x14ac:dyDescent="0.25">
      <c r="A6" s="30" t="s">
        <v>167</v>
      </c>
      <c r="B6" s="34" t="s">
        <v>168</v>
      </c>
      <c r="C6" s="31" t="s">
        <v>169</v>
      </c>
      <c r="D6" s="35" t="s">
        <v>170</v>
      </c>
      <c r="E6" s="33" t="s">
        <v>171</v>
      </c>
      <c r="F6" s="33" t="s">
        <v>172</v>
      </c>
    </row>
    <row r="7" spans="1:12" ht="67.5" customHeight="1" x14ac:dyDescent="0.25">
      <c r="A7" s="30" t="s">
        <v>173</v>
      </c>
      <c r="B7" s="34" t="s">
        <v>174</v>
      </c>
      <c r="C7" s="34" t="s">
        <v>162</v>
      </c>
      <c r="D7" s="35" t="s">
        <v>175</v>
      </c>
      <c r="E7" s="35" t="s">
        <v>176</v>
      </c>
      <c r="F7" s="33" t="s">
        <v>177</v>
      </c>
    </row>
    <row r="8" spans="1:12" ht="67.5" customHeight="1" x14ac:dyDescent="0.25">
      <c r="A8" s="30" t="s">
        <v>178</v>
      </c>
      <c r="B8" s="34" t="s">
        <v>179</v>
      </c>
      <c r="C8" s="34" t="s">
        <v>174</v>
      </c>
      <c r="D8" s="34" t="s">
        <v>168</v>
      </c>
      <c r="E8" s="31" t="s">
        <v>162</v>
      </c>
      <c r="F8" s="35" t="s">
        <v>180</v>
      </c>
    </row>
    <row r="10" spans="1:12" ht="24" customHeight="1" x14ac:dyDescent="0.25">
      <c r="A10" s="3" t="s">
        <v>181</v>
      </c>
      <c r="B10" s="3"/>
      <c r="C10" s="3"/>
      <c r="D10" s="3"/>
      <c r="E10" s="3"/>
      <c r="F10" s="3"/>
    </row>
    <row r="11" spans="1:12" ht="27.75" customHeight="1" x14ac:dyDescent="0.25">
      <c r="A11" s="36" t="s">
        <v>5</v>
      </c>
      <c r="B11" s="36" t="s">
        <v>7</v>
      </c>
      <c r="C11" s="36" t="s">
        <v>182</v>
      </c>
      <c r="D11" s="36" t="s">
        <v>183</v>
      </c>
      <c r="E11" s="36" t="s">
        <v>184</v>
      </c>
      <c r="F11" s="36" t="s">
        <v>185</v>
      </c>
    </row>
    <row r="12" spans="1:12" ht="19.5" customHeight="1" x14ac:dyDescent="0.25">
      <c r="A12" s="21" t="s">
        <v>17</v>
      </c>
      <c r="B12" s="22" t="s">
        <v>19</v>
      </c>
      <c r="C12" s="19">
        <v>16</v>
      </c>
      <c r="D12" s="20">
        <v>4</v>
      </c>
      <c r="E12" s="37">
        <v>0.75</v>
      </c>
      <c r="F12" s="20" t="s">
        <v>186</v>
      </c>
    </row>
    <row r="13" spans="1:12" ht="19.5" customHeight="1" x14ac:dyDescent="0.25">
      <c r="A13" s="15" t="s">
        <v>23</v>
      </c>
      <c r="B13" s="17" t="s">
        <v>24</v>
      </c>
      <c r="C13" s="19">
        <v>20</v>
      </c>
      <c r="D13" s="20">
        <v>6</v>
      </c>
      <c r="E13" s="37">
        <v>0.7</v>
      </c>
      <c r="F13" s="20" t="s">
        <v>186</v>
      </c>
    </row>
    <row r="14" spans="1:12" ht="19.5" customHeight="1" x14ac:dyDescent="0.25">
      <c r="A14" s="21" t="s">
        <v>28</v>
      </c>
      <c r="B14" s="22" t="s">
        <v>29</v>
      </c>
      <c r="C14" s="19">
        <v>15</v>
      </c>
      <c r="D14" s="20">
        <v>4</v>
      </c>
      <c r="E14" s="37">
        <v>0.73333333333333295</v>
      </c>
      <c r="F14" s="20" t="s">
        <v>186</v>
      </c>
    </row>
    <row r="15" spans="1:12" ht="19.5" customHeight="1" x14ac:dyDescent="0.25">
      <c r="A15" s="15" t="s">
        <v>33</v>
      </c>
      <c r="B15" s="17" t="s">
        <v>34</v>
      </c>
      <c r="C15" s="23">
        <v>12</v>
      </c>
      <c r="D15" s="20">
        <v>4</v>
      </c>
      <c r="E15" s="37">
        <v>0.66666666666666696</v>
      </c>
      <c r="F15" s="20" t="s">
        <v>186</v>
      </c>
    </row>
    <row r="16" spans="1:12" ht="19.5" customHeight="1" x14ac:dyDescent="0.25">
      <c r="A16" s="21" t="s">
        <v>38</v>
      </c>
      <c r="B16" s="22" t="s">
        <v>39</v>
      </c>
      <c r="C16" s="23">
        <v>8</v>
      </c>
      <c r="D16" s="20">
        <v>2</v>
      </c>
      <c r="E16" s="37">
        <v>0.75</v>
      </c>
      <c r="F16" s="20" t="s">
        <v>186</v>
      </c>
    </row>
    <row r="17" spans="1:6" ht="19.5" customHeight="1" x14ac:dyDescent="0.25">
      <c r="A17" s="15" t="s">
        <v>43</v>
      </c>
      <c r="B17" s="17" t="s">
        <v>44</v>
      </c>
      <c r="C17" s="19">
        <v>15</v>
      </c>
      <c r="D17" s="20">
        <v>4</v>
      </c>
      <c r="E17" s="37">
        <v>0.73333333333333295</v>
      </c>
      <c r="F17" s="20" t="s">
        <v>186</v>
      </c>
    </row>
    <row r="18" spans="1:6" ht="19.5" customHeight="1" x14ac:dyDescent="0.25">
      <c r="A18" s="21" t="s">
        <v>48</v>
      </c>
      <c r="B18" s="22" t="s">
        <v>49</v>
      </c>
      <c r="C18" s="23">
        <v>10</v>
      </c>
      <c r="D18" s="20">
        <v>3</v>
      </c>
      <c r="E18" s="37">
        <v>0.7</v>
      </c>
      <c r="F18" s="20" t="s">
        <v>186</v>
      </c>
    </row>
    <row r="19" spans="1:6" ht="19.5" customHeight="1" x14ac:dyDescent="0.25">
      <c r="A19" s="15" t="s">
        <v>53</v>
      </c>
      <c r="B19" s="17" t="s">
        <v>54</v>
      </c>
      <c r="C19" s="19">
        <v>16</v>
      </c>
      <c r="D19" s="20">
        <v>4</v>
      </c>
      <c r="E19" s="37">
        <v>0.75</v>
      </c>
      <c r="F19" s="20" t="s">
        <v>186</v>
      </c>
    </row>
    <row r="20" spans="1:6" ht="19.5" customHeight="1" x14ac:dyDescent="0.25">
      <c r="A20" s="21" t="s">
        <v>58</v>
      </c>
      <c r="B20" s="22" t="s">
        <v>59</v>
      </c>
      <c r="C20" s="19">
        <v>16</v>
      </c>
      <c r="D20" s="20">
        <v>4</v>
      </c>
      <c r="E20" s="37">
        <v>0.75</v>
      </c>
      <c r="F20" s="20" t="s">
        <v>186</v>
      </c>
    </row>
    <row r="21" spans="1:6" ht="19.5" customHeight="1" x14ac:dyDescent="0.25">
      <c r="A21" s="15" t="s">
        <v>63</v>
      </c>
      <c r="B21" s="17" t="s">
        <v>64</v>
      </c>
      <c r="C21" s="23">
        <v>10</v>
      </c>
      <c r="D21" s="20">
        <v>3</v>
      </c>
      <c r="E21" s="37">
        <v>0.7</v>
      </c>
      <c r="F21" s="20" t="s">
        <v>186</v>
      </c>
    </row>
    <row r="22" spans="1:6" ht="19.5" customHeight="1" x14ac:dyDescent="0.25">
      <c r="A22" s="21" t="s">
        <v>68</v>
      </c>
      <c r="B22" s="22" t="s">
        <v>70</v>
      </c>
      <c r="C22" s="19">
        <v>15</v>
      </c>
      <c r="D22" s="20">
        <v>4</v>
      </c>
      <c r="E22" s="37">
        <v>0.73333333333333295</v>
      </c>
      <c r="F22" s="20" t="s">
        <v>186</v>
      </c>
    </row>
    <row r="23" spans="1:6" ht="19.5" customHeight="1" x14ac:dyDescent="0.25">
      <c r="A23" s="15" t="s">
        <v>74</v>
      </c>
      <c r="B23" s="17" t="s">
        <v>75</v>
      </c>
      <c r="C23" s="23">
        <v>12</v>
      </c>
      <c r="D23" s="20">
        <v>4</v>
      </c>
      <c r="E23" s="37">
        <v>0.66666666666666696</v>
      </c>
      <c r="F23" s="20" t="s">
        <v>186</v>
      </c>
    </row>
    <row r="24" spans="1:6" ht="19.5" customHeight="1" x14ac:dyDescent="0.25">
      <c r="A24" s="21" t="s">
        <v>79</v>
      </c>
      <c r="B24" s="22" t="s">
        <v>80</v>
      </c>
      <c r="C24" s="23">
        <v>8</v>
      </c>
      <c r="D24" s="20">
        <v>2</v>
      </c>
      <c r="E24" s="37">
        <v>0.75</v>
      </c>
      <c r="F24" s="20" t="s">
        <v>186</v>
      </c>
    </row>
    <row r="25" spans="1:6" ht="19.5" customHeight="1" x14ac:dyDescent="0.25">
      <c r="A25" s="15" t="s">
        <v>84</v>
      </c>
      <c r="B25" s="17" t="s">
        <v>85</v>
      </c>
      <c r="C25" s="23">
        <v>12</v>
      </c>
      <c r="D25" s="20">
        <v>4</v>
      </c>
      <c r="E25" s="37">
        <v>0.66666666666666696</v>
      </c>
      <c r="F25" s="20" t="s">
        <v>186</v>
      </c>
    </row>
    <row r="26" spans="1:6" ht="19.5" customHeight="1" x14ac:dyDescent="0.25">
      <c r="A26" s="21" t="s">
        <v>89</v>
      </c>
      <c r="B26" s="22" t="s">
        <v>91</v>
      </c>
      <c r="C26" s="19">
        <v>15</v>
      </c>
      <c r="D26" s="20">
        <v>3</v>
      </c>
      <c r="E26" s="37">
        <v>0.8</v>
      </c>
      <c r="F26" s="20" t="s">
        <v>186</v>
      </c>
    </row>
    <row r="27" spans="1:6" ht="19.5" customHeight="1" x14ac:dyDescent="0.25">
      <c r="A27" s="15" t="s">
        <v>95</v>
      </c>
      <c r="B27" s="17" t="s">
        <v>96</v>
      </c>
      <c r="C27" s="23">
        <v>12</v>
      </c>
      <c r="D27" s="20">
        <v>4</v>
      </c>
      <c r="E27" s="37">
        <v>0.66666666666666696</v>
      </c>
      <c r="F27" s="20" t="s">
        <v>186</v>
      </c>
    </row>
    <row r="28" spans="1:6" ht="19.5" customHeight="1" x14ac:dyDescent="0.25">
      <c r="A28" s="21" t="s">
        <v>100</v>
      </c>
      <c r="B28" s="22" t="s">
        <v>101</v>
      </c>
      <c r="C28" s="23">
        <v>12</v>
      </c>
      <c r="D28" s="20">
        <v>2</v>
      </c>
      <c r="E28" s="37">
        <v>0.83333333333333304</v>
      </c>
      <c r="F28" s="20" t="s">
        <v>186</v>
      </c>
    </row>
    <row r="29" spans="1:6" ht="19.5" customHeight="1" x14ac:dyDescent="0.25">
      <c r="A29" s="15" t="s">
        <v>105</v>
      </c>
      <c r="B29" s="17" t="s">
        <v>107</v>
      </c>
      <c r="C29" s="20">
        <v>6</v>
      </c>
      <c r="D29" s="20">
        <v>2</v>
      </c>
      <c r="E29" s="37">
        <v>0.66666666666666696</v>
      </c>
      <c r="F29" s="20" t="s">
        <v>186</v>
      </c>
    </row>
    <row r="30" spans="1:6" ht="19.5" customHeight="1" x14ac:dyDescent="0.25">
      <c r="A30" s="21" t="s">
        <v>111</v>
      </c>
      <c r="B30" s="22" t="s">
        <v>112</v>
      </c>
      <c r="C30" s="20">
        <v>5</v>
      </c>
      <c r="D30" s="20">
        <v>2</v>
      </c>
      <c r="E30" s="37">
        <v>0.6</v>
      </c>
      <c r="F30" s="20" t="s">
        <v>186</v>
      </c>
    </row>
    <row r="31" spans="1:6" ht="19.5" customHeight="1" x14ac:dyDescent="0.25">
      <c r="A31" s="15" t="s">
        <v>116</v>
      </c>
      <c r="B31" s="17" t="s">
        <v>117</v>
      </c>
      <c r="C31" s="23">
        <v>8</v>
      </c>
      <c r="D31" s="20">
        <v>2</v>
      </c>
      <c r="E31" s="37">
        <v>0.75</v>
      </c>
      <c r="F31" s="20" t="s">
        <v>186</v>
      </c>
    </row>
    <row r="32" spans="1:6" ht="19.5" customHeight="1" x14ac:dyDescent="0.25">
      <c r="A32" s="21" t="s">
        <v>121</v>
      </c>
      <c r="B32" s="22" t="s">
        <v>123</v>
      </c>
      <c r="C32" s="23">
        <v>12</v>
      </c>
      <c r="D32" s="20">
        <v>2</v>
      </c>
      <c r="E32" s="37">
        <v>0.83333333333333304</v>
      </c>
      <c r="F32" s="20" t="s">
        <v>186</v>
      </c>
    </row>
    <row r="33" spans="1:6" ht="19.5" customHeight="1" x14ac:dyDescent="0.25">
      <c r="A33" s="15" t="s">
        <v>127</v>
      </c>
      <c r="B33" s="17" t="s">
        <v>128</v>
      </c>
      <c r="C33" s="23">
        <v>12</v>
      </c>
      <c r="D33" s="20">
        <v>4</v>
      </c>
      <c r="E33" s="37">
        <v>0.66666666666666696</v>
      </c>
      <c r="F33" s="20" t="s">
        <v>186</v>
      </c>
    </row>
    <row r="34" spans="1:6" ht="19.5" customHeight="1" x14ac:dyDescent="0.25">
      <c r="A34" s="21" t="s">
        <v>132</v>
      </c>
      <c r="B34" s="22" t="s">
        <v>134</v>
      </c>
      <c r="C34" s="23">
        <v>12</v>
      </c>
      <c r="D34" s="20">
        <v>4</v>
      </c>
      <c r="E34" s="37">
        <v>0.66666666666666696</v>
      </c>
      <c r="F34" s="20" t="s">
        <v>186</v>
      </c>
    </row>
    <row r="35" spans="1:6" ht="19.5" customHeight="1" x14ac:dyDescent="0.25">
      <c r="A35" s="15" t="s">
        <v>138</v>
      </c>
      <c r="B35" s="17" t="s">
        <v>139</v>
      </c>
      <c r="C35" s="23">
        <v>9</v>
      </c>
      <c r="D35" s="20">
        <v>2</v>
      </c>
      <c r="E35" s="37">
        <v>0.77777777777777801</v>
      </c>
      <c r="F35" s="20" t="s">
        <v>186</v>
      </c>
    </row>
  </sheetData>
  <mergeCells count="6">
    <mergeCell ref="A10:F10"/>
    <mergeCell ref="A1:L1"/>
    <mergeCell ref="A2:B2"/>
    <mergeCell ref="C2:D2"/>
    <mergeCell ref="E2:F2"/>
    <mergeCell ref="G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2"/>
  <sheetViews>
    <sheetView showGridLines="0" tabSelected="1" zoomScaleNormal="100" workbookViewId="0">
      <selection sqref="A1:H1"/>
    </sheetView>
  </sheetViews>
  <sheetFormatPr defaultColWidth="8.7109375" defaultRowHeight="15" x14ac:dyDescent="0.25"/>
  <cols>
    <col min="1" max="1" width="18" customWidth="1"/>
    <col min="2" max="2" width="55" customWidth="1"/>
    <col min="3" max="8" width="14" customWidth="1"/>
  </cols>
  <sheetData>
    <row r="1" spans="1:8" ht="31.5" customHeight="1" x14ac:dyDescent="0.25">
      <c r="A1" s="13" t="s">
        <v>187</v>
      </c>
      <c r="B1" s="13"/>
      <c r="C1" s="13"/>
      <c r="D1" s="13"/>
      <c r="E1" s="13"/>
      <c r="F1" s="13"/>
      <c r="G1" s="13"/>
      <c r="H1" s="13"/>
    </row>
    <row r="2" spans="1:8" ht="18" customHeight="1" x14ac:dyDescent="0.25">
      <c r="A2" s="12" t="s">
        <v>188</v>
      </c>
      <c r="B2" s="12"/>
      <c r="C2" s="12"/>
      <c r="D2" s="12"/>
      <c r="E2" s="12"/>
      <c r="F2" s="12"/>
      <c r="G2" s="12"/>
      <c r="H2" s="12"/>
    </row>
    <row r="4" spans="1:8" ht="30" customHeight="1" x14ac:dyDescent="0.25">
      <c r="A4" s="38" t="s">
        <v>189</v>
      </c>
      <c r="B4" s="39" t="s">
        <v>190</v>
      </c>
      <c r="C4" s="40" t="s">
        <v>191</v>
      </c>
      <c r="D4" s="41" t="s">
        <v>192</v>
      </c>
      <c r="E4" s="39" t="s">
        <v>193</v>
      </c>
      <c r="F4" s="42" t="s">
        <v>194</v>
      </c>
    </row>
    <row r="5" spans="1:8" ht="36" customHeight="1" x14ac:dyDescent="0.25">
      <c r="A5" s="43">
        <v>24</v>
      </c>
      <c r="B5" s="44">
        <v>8</v>
      </c>
      <c r="C5" s="45">
        <v>14</v>
      </c>
      <c r="D5" s="46">
        <v>2</v>
      </c>
      <c r="E5" s="44">
        <v>0</v>
      </c>
      <c r="F5" s="47">
        <f>('Risk Register'!H30-'Risk Register'!L30)/'Risk Register'!H30</f>
        <v>0.72569444444444453</v>
      </c>
    </row>
    <row r="7" spans="1:8" ht="21.75" customHeight="1" x14ac:dyDescent="0.25">
      <c r="A7" s="3" t="s">
        <v>195</v>
      </c>
      <c r="B7" s="3"/>
      <c r="C7" s="3"/>
      <c r="D7" s="3"/>
      <c r="E7" s="3"/>
      <c r="F7" s="3"/>
      <c r="G7" s="3"/>
      <c r="H7" s="3"/>
    </row>
    <row r="8" spans="1:8" ht="30" customHeight="1" x14ac:dyDescent="0.25">
      <c r="A8" s="36" t="s">
        <v>196</v>
      </c>
      <c r="B8" s="36" t="s">
        <v>197</v>
      </c>
      <c r="C8" s="36" t="s">
        <v>198</v>
      </c>
      <c r="D8" s="36" t="s">
        <v>199</v>
      </c>
      <c r="E8" s="36" t="s">
        <v>200</v>
      </c>
      <c r="F8" s="36" t="s">
        <v>201</v>
      </c>
      <c r="G8" s="36" t="s">
        <v>202</v>
      </c>
      <c r="H8" s="36" t="s">
        <v>203</v>
      </c>
    </row>
    <row r="9" spans="1:8" ht="21.75" customHeight="1" x14ac:dyDescent="0.25">
      <c r="A9" s="48" t="s">
        <v>18</v>
      </c>
      <c r="B9" s="49">
        <v>10</v>
      </c>
      <c r="C9" s="49">
        <v>13.8</v>
      </c>
      <c r="D9" s="49">
        <v>3.8</v>
      </c>
      <c r="E9" s="50">
        <v>0.72463768115941996</v>
      </c>
      <c r="F9" s="49">
        <v>20</v>
      </c>
      <c r="G9" s="49">
        <v>6</v>
      </c>
      <c r="H9" s="51" t="s">
        <v>204</v>
      </c>
    </row>
    <row r="10" spans="1:8" ht="21.75" customHeight="1" x14ac:dyDescent="0.25">
      <c r="A10" s="52" t="s">
        <v>69</v>
      </c>
      <c r="B10" s="53">
        <v>4</v>
      </c>
      <c r="C10" s="53">
        <v>11.8</v>
      </c>
      <c r="D10" s="53">
        <v>3.5</v>
      </c>
      <c r="E10" s="50">
        <v>0.70212765957446799</v>
      </c>
      <c r="F10" s="53">
        <v>15</v>
      </c>
      <c r="G10" s="53">
        <v>1</v>
      </c>
      <c r="H10" s="54" t="s">
        <v>205</v>
      </c>
    </row>
    <row r="11" spans="1:8" ht="21.75" customHeight="1" x14ac:dyDescent="0.25">
      <c r="A11" s="55" t="s">
        <v>90</v>
      </c>
      <c r="B11" s="49">
        <v>3</v>
      </c>
      <c r="C11" s="49">
        <v>13</v>
      </c>
      <c r="D11" s="49">
        <v>3</v>
      </c>
      <c r="E11" s="50">
        <v>0.76923076923076905</v>
      </c>
      <c r="F11" s="49">
        <v>15</v>
      </c>
      <c r="G11" s="49">
        <v>1</v>
      </c>
      <c r="H11" s="54" t="s">
        <v>205</v>
      </c>
    </row>
    <row r="12" spans="1:8" ht="21.75" customHeight="1" x14ac:dyDescent="0.25">
      <c r="A12" s="56" t="s">
        <v>106</v>
      </c>
      <c r="B12" s="53">
        <v>3</v>
      </c>
      <c r="C12" s="53">
        <v>6.3</v>
      </c>
      <c r="D12" s="53">
        <v>2</v>
      </c>
      <c r="E12" s="50">
        <v>0.68421052631579005</v>
      </c>
      <c r="F12" s="53">
        <v>8</v>
      </c>
      <c r="G12" s="53">
        <v>0</v>
      </c>
      <c r="H12" s="57" t="s">
        <v>206</v>
      </c>
    </row>
    <row r="13" spans="1:8" ht="21.75" customHeight="1" x14ac:dyDescent="0.25">
      <c r="A13" s="58" t="s">
        <v>122</v>
      </c>
      <c r="B13" s="49">
        <v>2</v>
      </c>
      <c r="C13" s="49">
        <v>12</v>
      </c>
      <c r="D13" s="49">
        <v>3</v>
      </c>
      <c r="E13" s="50">
        <v>0.75</v>
      </c>
      <c r="F13" s="49">
        <v>12</v>
      </c>
      <c r="G13" s="49">
        <v>0</v>
      </c>
      <c r="H13" s="54" t="s">
        <v>205</v>
      </c>
    </row>
    <row r="14" spans="1:8" ht="21.75" customHeight="1" x14ac:dyDescent="0.25">
      <c r="A14" s="59" t="s">
        <v>133</v>
      </c>
      <c r="B14" s="53">
        <v>2</v>
      </c>
      <c r="C14" s="53">
        <v>10.5</v>
      </c>
      <c r="D14" s="53">
        <v>3</v>
      </c>
      <c r="E14" s="50">
        <v>0.71428571428571397</v>
      </c>
      <c r="F14" s="53">
        <v>12</v>
      </c>
      <c r="G14" s="53">
        <v>0</v>
      </c>
      <c r="H14" s="57" t="s">
        <v>206</v>
      </c>
    </row>
    <row r="16" spans="1:8" ht="21.75" customHeight="1" x14ac:dyDescent="0.25">
      <c r="A16" s="3" t="s">
        <v>207</v>
      </c>
      <c r="B16" s="3"/>
      <c r="C16" s="3"/>
      <c r="D16" s="3"/>
      <c r="E16" s="3"/>
      <c r="F16" s="3"/>
      <c r="G16" s="3"/>
      <c r="H16" s="3"/>
    </row>
    <row r="17" spans="1:8" ht="31.5" customHeight="1" x14ac:dyDescent="0.25">
      <c r="A17" s="51" t="s">
        <v>208</v>
      </c>
      <c r="B17" s="2" t="s">
        <v>209</v>
      </c>
      <c r="C17" s="2"/>
      <c r="D17" s="2"/>
      <c r="E17" s="2"/>
      <c r="F17" s="2"/>
      <c r="G17" s="2"/>
      <c r="H17" s="2"/>
    </row>
    <row r="18" spans="1:8" ht="31.5" customHeight="1" x14ac:dyDescent="0.25">
      <c r="A18" s="51" t="s">
        <v>208</v>
      </c>
      <c r="B18" s="1" t="s">
        <v>210</v>
      </c>
      <c r="C18" s="1"/>
      <c r="D18" s="1"/>
      <c r="E18" s="1"/>
      <c r="F18" s="1"/>
      <c r="G18" s="1"/>
      <c r="H18" s="1"/>
    </row>
    <row r="19" spans="1:8" ht="31.5" customHeight="1" x14ac:dyDescent="0.25">
      <c r="A19" s="54" t="s">
        <v>211</v>
      </c>
      <c r="B19" s="2" t="s">
        <v>212</v>
      </c>
      <c r="C19" s="2"/>
      <c r="D19" s="2"/>
      <c r="E19" s="2"/>
      <c r="F19" s="2"/>
      <c r="G19" s="2"/>
      <c r="H19" s="2"/>
    </row>
    <row r="20" spans="1:8" ht="31.5" customHeight="1" x14ac:dyDescent="0.25">
      <c r="A20" s="54" t="s">
        <v>211</v>
      </c>
      <c r="B20" s="1" t="s">
        <v>213</v>
      </c>
      <c r="C20" s="1"/>
      <c r="D20" s="1"/>
      <c r="E20" s="1"/>
      <c r="F20" s="1"/>
      <c r="G20" s="1"/>
      <c r="H20" s="1"/>
    </row>
    <row r="21" spans="1:8" ht="31.5" customHeight="1" x14ac:dyDescent="0.25">
      <c r="A21" s="57" t="s">
        <v>214</v>
      </c>
      <c r="B21" s="2" t="s">
        <v>215</v>
      </c>
      <c r="C21" s="2"/>
      <c r="D21" s="2"/>
      <c r="E21" s="2"/>
      <c r="F21" s="2"/>
      <c r="G21" s="2"/>
      <c r="H21" s="2"/>
    </row>
    <row r="22" spans="1:8" ht="31.5" customHeight="1" x14ac:dyDescent="0.25">
      <c r="A22" s="57" t="s">
        <v>214</v>
      </c>
      <c r="B22" s="1" t="s">
        <v>216</v>
      </c>
      <c r="C22" s="1"/>
      <c r="D22" s="1"/>
      <c r="E22" s="1"/>
      <c r="F22" s="1"/>
      <c r="G22" s="1"/>
      <c r="H22" s="1"/>
    </row>
  </sheetData>
  <mergeCells count="10">
    <mergeCell ref="B18:H18"/>
    <mergeCell ref="B19:H19"/>
    <mergeCell ref="B20:H20"/>
    <mergeCell ref="B21:H21"/>
    <mergeCell ref="B22:H22"/>
    <mergeCell ref="A1:H1"/>
    <mergeCell ref="A2:H2"/>
    <mergeCell ref="A7:H7"/>
    <mergeCell ref="A16:H16"/>
    <mergeCell ref="B17:H1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Risk Register</vt:lpstr>
      <vt:lpstr>Risk Heat Map</vt:lpstr>
      <vt:lpstr>Executive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Ahmad Al-Ansari</cp:lastModifiedBy>
  <cp:revision>0</cp:revision>
  <dcterms:created xsi:type="dcterms:W3CDTF">2026-05-10T00:33:18Z</dcterms:created>
  <dcterms:modified xsi:type="dcterms:W3CDTF">2026-05-10T00:50:44Z</dcterms:modified>
  <dc:language>en-US</dc:language>
</cp:coreProperties>
</file>